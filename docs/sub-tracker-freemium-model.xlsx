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5-Year Projection" sheetId="2" state="visible" r:id="rId4"/>
    <sheet name="Conversion Scenarios" sheetId="3" state="visible" r:id="rId5"/>
    <sheet name="Taster Cost Analysis" sheetId="4" state="visible" r:id="rId6"/>
    <sheet name="Freemium vs Paid" sheetId="5" state="visible" r:id="rId7"/>
    <sheet name="Strateg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<sst xmlns="http://schemas.openxmlformats.org/spreadsheetml/2006/main" count="257" uniqueCount="218">
  <si>
    <t xml:space="preserve">SUBSCRIPTION TRACKER — FREEMIUM MODEL ASSUMPTIONS</t>
  </si>
  <si>
    <t xml:space="preserve">PRICING &amp; FEES</t>
  </si>
  <si>
    <t xml:space="preserve">Parameter</t>
  </si>
  <si>
    <t xml:space="preserve">Value</t>
  </si>
  <si>
    <t xml:space="preserve">Format</t>
  </si>
  <si>
    <t xml:space="preserve">Notes</t>
  </si>
  <si>
    <t xml:space="preserve">Pro Unlock Price</t>
  </si>
  <si>
    <t xml:space="preserve">One-time lifetime unlock</t>
  </si>
  <si>
    <t xml:space="preserve">Apple/Google Commission</t>
  </si>
  <si>
    <t xml:space="preserve">15% Small Business Program (under $1M rev)</t>
  </si>
  <si>
    <t xml:space="preserve">Net Revenue per Sale</t>
  </si>
  <si>
    <t xml:space="preserve">After platform cut</t>
  </si>
  <si>
    <t xml:space="preserve">AI COSTS (Claude Haiku 4.5)</t>
  </si>
  <si>
    <t xml:space="preserve">Cost per AI Scan</t>
  </si>
  <si>
    <t xml:space="preserve">Image + prompt + output</t>
  </si>
  <si>
    <t xml:space="preserve">Free Tier AI Scans (taster)</t>
  </si>
  <si>
    <t xml:space="preserve">Three free scans per free user (handles 1 bad + 2 good)</t>
  </si>
  <si>
    <t xml:space="preserve">Pro User Scans/Month</t>
  </si>
  <si>
    <t xml:space="preserve">Average monthly scans for paying users</t>
  </si>
  <si>
    <t xml:space="preserve">Free User Monthly Cost</t>
  </si>
  <si>
    <t xml:space="preserve">One-time taster cost only</t>
  </si>
  <si>
    <t xml:space="preserve">Pro User Monthly AI Cost</t>
  </si>
  <si>
    <t xml:space="preserve">Per paying user per month</t>
  </si>
  <si>
    <t xml:space="preserve">GROWTH &amp; CONVERSION</t>
  </si>
  <si>
    <t xml:space="preserve">Year 1 Total Downloads</t>
  </si>
  <si>
    <t xml:space="preserve">Free + paid combined</t>
  </si>
  <si>
    <t xml:space="preserve">Year 2 Total Downloads</t>
  </si>
  <si>
    <t xml:space="preserve">Growing awareness</t>
  </si>
  <si>
    <t xml:space="preserve">Year 3 Total Downloads</t>
  </si>
  <si>
    <t xml:space="preserve">Established presence</t>
  </si>
  <si>
    <t xml:space="preserve">Year 4 Total Downloads</t>
  </si>
  <si>
    <t xml:space="preserve">Mature growth</t>
  </si>
  <si>
    <t xml:space="preserve">Year 5 Total Downloads</t>
  </si>
  <si>
    <t xml:space="preserve">Plateau</t>
  </si>
  <si>
    <t xml:space="preserve">Conversion Rate (Free → Pro)</t>
  </si>
  <si>
    <t xml:space="preserve">Industry avg 2-5%, we target 4%</t>
  </si>
  <si>
    <t xml:space="preserve">Free User Annual Retention</t>
  </si>
  <si>
    <t xml:space="preserve">Free users churn faster</t>
  </si>
  <si>
    <t xml:space="preserve">Pro User Annual Retention</t>
  </si>
  <si>
    <t xml:space="preserve">Paid users stick around</t>
  </si>
  <si>
    <t xml:space="preserve">FIXED COSTS</t>
  </si>
  <si>
    <t xml:space="preserve">Monthly Hosting (Firebase)</t>
  </si>
  <si>
    <t xml:space="preserve">Scales with users</t>
  </si>
  <si>
    <t xml:space="preserve">Apple Dev Account (Annual)</t>
  </si>
  <si>
    <t xml:space="preserve">$8.25/month</t>
  </si>
  <si>
    <t xml:space="preserve">Google Play Fee (One-time)</t>
  </si>
  <si>
    <t xml:space="preserve">One-time $25</t>
  </si>
  <si>
    <t xml:space="preserve">FREEMIUM MODEL — 5-YEAR PROJECTION (ACCUMULATING USERS)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</si>
  <si>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</si>
  <si>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</si>
  <si>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</si>
  <si>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</si>
  <si>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</si>
  <si>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</si>
  <si>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DOWNLOADS &amp; USERS</t>
  </si>
  <si>
    <t xml:space="preserve">New Downloads (total)</t>
  </si>
  <si>
    <t xml:space="preserve">New Free Users (non-converting)</t>
  </si>
  <si>
    <t xml:space="preserve">New Pro Conversions</t>
  </si>
  <si>
    <t xml:space="preserve">Retained Free Users (from prior years)</t>
  </si>
  <si>
    <t xml:space="preserve">Retained Pro Users (from prior years)</t>
  </si>
  <si>
    <t xml:space="preserve">Total Active Free Users</t>
  </si>
  <si>
    <t xml:space="preserve">Total Active Pro Users</t>
  </si>
  <si>
    <t xml:space="preserve">Total Active Users</t>
  </si>
  <si>
    <t xml:space="preserve">REVENUE</t>
  </si>
  <si>
    <t xml:space="preserve">Gross Revenue (new Pro sales)</t>
  </si>
  <si>
    <t xml:space="preserve">Platform Commission (15%)</t>
  </si>
  <si>
    <t xml:space="preserve">Net Revenue</t>
  </si>
  <si>
    <t xml:space="preserve">AI COSTS</t>
  </si>
  <si>
    <t xml:space="preserve">Taster Scans (new free users × 1)</t>
  </si>
  <si>
    <t xml:space="preserve">Pro User Scans (total pro × 3/mo × 12)</t>
  </si>
  <si>
    <t xml:space="preserve">Total Annual AI Scans</t>
  </si>
  <si>
    <t xml:space="preserve">Total AI Cost</t>
  </si>
  <si>
    <t xml:space="preserve">Hosting (scales with users)</t>
  </si>
  <si>
    <t xml:space="preserve">Apple Dev Account</t>
  </si>
  <si>
    <t xml:space="preserve">Google Play Fee</t>
  </si>
  <si>
    <t xml:space="preserve">Total Fixed Costs</t>
  </si>
  <si>
    <t xml:space="preserve">PROFITABILITY</t>
  </si>
  <si>
    <t xml:space="preserve">Total Costs</t>
  </si>
  <si>
    <t xml:space="preserve">Net Profit</t>
  </si>
  <si>
    <t xml:space="preserve">Profit Margin</t>
  </si>
  <si>
    <t xml:space="preserve">Cumulative Profit</t>
  </si>
  <si>
    <t xml:space="preserve">UNIT ECONOMICS</t>
  </si>
  <si>
    <t xml:space="preserve">Revenue per Pro User</t>
  </si>
  <si>
    <t xml:space="preserve">AI Cost per Pro User (annual)</t>
  </si>
  <si>
    <t xml:space="preserve">AI Cost as % of Revenue</t>
  </si>
  <si>
    <t xml:space="preserve">Cost per Free User (taster)</t>
  </si>
  <si>
    <t xml:space="preserve">CONVERSION RATE SENSITIVITY — YEAR 3 SNAPSHOT</t>
  </si>
  <si>
    <t xml:space="preserve">Shows Year 3 results at different conversion rates (200K downloads/yr)</t>
  </si>
  <si>
    <t xml:space="preserve">2% (Low)</t>
  </si>
  <si>
    <t xml:space="preserve">3% (Conservative)</t>
  </si>
  <si>
    <t xml:space="preserve">4% (Target)</t>
  </si>
  <si>
    <t xml:space="preserve">5% (Optimistic)</t>
  </si>
  <si>
    <t xml:space="preserve">7% (Stretch)</t>
  </si>
  <si>
    <t xml:space="preserve">Gross Revenue</t>
  </si>
  <si>
    <t xml:space="preserve">Net Revenue (after 15%)</t>
  </si>
  <si>
    <t xml:space="preserve">AI Cost (taster + pro scans)</t>
  </si>
  <si>
    <t xml:space="preserve">Net Profit (Year 3 only)</t>
  </si>
  <si>
    <t xml:space="preserve">Cumulative 3-Year Profit (est.)</t>
  </si>
  <si>
    <t xml:space="preserve">Taster Cost (all free users)</t>
  </si>
  <si>
    <t xml:space="preserve">Pro AI Cost (annual)</t>
  </si>
  <si>
    <t xml:space="preserve">AI as % of Net Revenue</t>
  </si>
  <si>
    <t xml:space="preserve">FREE TASTER SCAN — COST ANALYSIS</t>
  </si>
  <si>
    <t xml:space="preserve">What does giving away 1 free AI scan to every user actually cost?</t>
  </si>
  <si>
    <t xml:space="preserve">THE MATH</t>
  </si>
  <si>
    <t xml:space="preserve">Downloads/Year</t>
  </si>
  <si>
    <t xml:space="preserve">Taster Scans</t>
  </si>
  <si>
    <t xml:space="preserve">Taster Cost</t>
  </si>
  <si>
    <t xml:space="preserve">Cost per Day</t>
  </si>
  <si>
    <t xml:space="preserve">KEY INSIGHT</t>
  </si>
  <si>
    <t xml:space="preserve">Even at 1 MILLION downloads/year, 3 taster scans cost just $4,348/year ($11.91/day).</t>
  </si>
  <si>
    <t xml:space="preserve">Compare to revenue: 1M downloads × 4% conversion × $4.99 × 85% = $169,660 net revenue.</t>
  </si>
  <si>
    <t xml:space="preserve">Taster cost is ~2.6% of revenue — still essentially a rounding error.</t>
  </si>
  <si>
    <t xml:space="preserve">VS. ALTERNATIVE: NO FREE SCAN</t>
  </si>
  <si>
    <t xml:space="preserve">Scenario</t>
  </si>
  <si>
    <t xml:space="preserve">Conversion Rate</t>
  </si>
  <si>
    <t xml:space="preserve">Pro Users</t>
  </si>
  <si>
    <t xml:space="preserve">With 3 taster scans (builds habit)</t>
  </si>
  <si>
    <t xml:space="preserve">Without taster (manual only free)</t>
  </si>
  <si>
    <t xml:space="preserve">Difference</t>
  </si>
  <si>
    <t xml:space="preserve">+1.5%</t>
  </si>
  <si>
    <t xml:space="preserve">+3,000</t>
  </si>
  <si>
    <t xml:space="preserve">+$12,724</t>
  </si>
  <si>
    <t xml:space="preserve">3 taster scans cost ~$869/yr at 200K downloads but likely generate $12,700+ in extra revenue.</t>
  </si>
  <si>
    <t xml:space="preserve">ROI on free tasters: ~1,400%. Still an absolute no-brainer.</t>
  </si>
  <si>
    <t xml:space="preserve">FREEMIUM vs PAID UPFRONT — HEAD TO HEAD</t>
  </si>
  <si>
    <t xml:space="preserve">Paid $4.99 Upfront</t>
  </si>
  <si>
    <t xml:space="preserve">Freemium + $4.99 Unlock</t>
  </si>
  <si>
    <t xml:space="preserve">Winner</t>
  </si>
  <si>
    <t xml:space="preserve">Install Barrier</t>
  </si>
  <si>
    <t xml:space="preserve">HIGH — 65% bounce at paywall</t>
  </si>
  <si>
    <t xml:space="preserve">NONE — free download</t>
  </si>
  <si>
    <t xml:space="preserve">Freemium</t>
  </si>
  <si>
    <t xml:space="preserve">Year 1 Downloads (realistic)</t>
  </si>
  <si>
    <t xml:space="preserve">5,000 - 15,000</t>
  </si>
  <si>
    <t xml:space="preserve">50,000+</t>
  </si>
  <si>
    <t xml:space="preserve">Conversion/Purchase Rate</t>
  </si>
  <si>
    <t xml:space="preserve">100% (all paid)</t>
  </si>
  <si>
    <t xml:space="preserve">4% convert to Pro</t>
  </si>
  <si>
    <t xml:space="preserve">Paid (per-user)</t>
  </si>
  <si>
    <t xml:space="preserve">Year 1 Paying Users</t>
  </si>
  <si>
    <t xml:space="preserve">2,000 (50K × 4%)</t>
  </si>
  <si>
    <t xml:space="preserve">Paid</t>
  </si>
  <si>
    <t xml:space="preserve">Year 1 Net Revenue</t>
  </si>
  <si>
    <t xml:space="preserve">$21K - $64K</t>
  </si>
  <si>
    <t xml:space="preserve">$8.5K</t>
  </si>
  <si>
    <t xml:space="preserve">Paid (if downloads hold)</t>
  </si>
  <si>
    <t xml:space="preserve">Year 3 Downloads</t>
  </si>
  <si>
    <t xml:space="preserve">10,000 - 20,000</t>
  </si>
  <si>
    <t xml:space="preserve">200,000</t>
  </si>
  <si>
    <t xml:space="preserve">Freemium (10-20×)</t>
  </si>
  <si>
    <t xml:space="preserve">Year 3 Paying Users</t>
  </si>
  <si>
    <t xml:space="preserve">8,000</t>
  </si>
  <si>
    <t xml:space="preserve">Depends</t>
  </si>
  <si>
    <t xml:space="preserve">Year 3 Net Revenue</t>
  </si>
  <si>
    <t xml:space="preserve">$42K - $85K</t>
  </si>
  <si>
    <t xml:space="preserve">$34K</t>
  </si>
  <si>
    <t xml:space="preserve">Close</t>
  </si>
  <si>
    <t xml:space="preserve">App Store Ranking</t>
  </si>
  <si>
    <t xml:space="preserve">LOW — few downloads</t>
  </si>
  <si>
    <t xml:space="preserve">HIGH — many downloads</t>
  </si>
  <si>
    <t xml:space="preserve">Organic Discovery</t>
  </si>
  <si>
    <t xml:space="preserve">Very difficult</t>
  </si>
  <si>
    <t xml:space="preserve">Downloads boost ranking</t>
  </si>
  <si>
    <t xml:space="preserve">Word of Mouth</t>
  </si>
  <si>
    <t xml:space="preserve">Limited reach</t>
  </si>
  <si>
    <t xml:space="preserve">Large free user base</t>
  </si>
  <si>
    <t xml:space="preserve">User Reviews Volume</t>
  </si>
  <si>
    <t xml:space="preserve">Low</t>
  </si>
  <si>
    <t xml:space="preserve">High (free users review too)</t>
  </si>
  <si>
    <t xml:space="preserve">AI Demo Effect</t>
  </si>
  <si>
    <t xml:space="preserve">Users already paid</t>
  </si>
  <si>
    <t xml:space="preserve">Taster creates wow moment</t>
  </si>
  <si>
    <t xml:space="preserve">Risk Profile</t>
  </si>
  <si>
    <t xml:space="preserve">High — needs paid UA</t>
  </si>
  <si>
    <t xml:space="preserve">Lower — organic growth viable</t>
  </si>
  <si>
    <t xml:space="preserve">Long-term Upside</t>
  </si>
  <si>
    <t xml:space="preserve">Linear (pay-per-download)</t>
  </si>
  <si>
    <t xml:space="preserve">Exponential (network effects)</t>
  </si>
  <si>
    <t xml:space="preserve">VERDICT</t>
  </si>
  <si>
    <t xml:space="preserve">Freemium wins 10/15 categories. Paid upfront generates more revenue per user but</t>
  </si>
  <si>
    <t xml:space="preserve">dramatically limits discovery and growth. In a crowded App Store, visibility IS revenue.</t>
  </si>
  <si>
    <t xml:space="preserve">RECOMMENDED PRICING STRATEGY</t>
  </si>
  <si>
    <t xml:space="preserve">FREE TIER</t>
  </si>
  <si>
    <t xml:space="preserve">Subscriptions</t>
  </si>
  <si>
    <t xml:space="preserve">3 max</t>
  </si>
  <si>
    <t xml:space="preserve">Entry Method</t>
  </si>
  <si>
    <t xml:space="preserve">Manual only</t>
  </si>
  <si>
    <t xml:space="preserve">AI Screenshot Scan</t>
  </si>
  <si>
    <t xml:space="preserve">3 free scans (lifetime)</t>
  </si>
  <si>
    <t xml:space="preserve">Reminders</t>
  </si>
  <si>
    <t xml:space="preserve">Basic (day-of only)</t>
  </si>
  <si>
    <t xml:space="preserve">Money Saved Tracker</t>
  </si>
  <si>
    <t xml:space="preserve">No</t>
  </si>
  <si>
    <t xml:space="preserve">Widgets</t>
  </si>
  <si>
    <t xml:space="preserve">Siri Shortcuts</t>
  </si>
  <si>
    <t xml:space="preserve">Price</t>
  </si>
  <si>
    <t xml:space="preserve">FREE</t>
  </si>
  <si>
    <t xml:space="preserve">PRO UNLOCK</t>
  </si>
  <si>
    <t xml:space="preserve">Unlimited</t>
  </si>
  <si>
    <t xml:space="preserve">Manual + AI Screenshot Scan</t>
  </si>
  <si>
    <t xml:space="preserve">Smart escalating (7d, 3d, 1d, morning-of)</t>
  </si>
  <si>
    <t xml:space="preserve">Yes (gamification)</t>
  </si>
  <si>
    <t xml:space="preserve">Yes (home screen widget)</t>
  </si>
  <si>
    <t xml:space="preserve">Yes</t>
  </si>
  <si>
    <t xml:space="preserve">Trial Countdown</t>
  </si>
  <si>
    <t xml:space="preserve">Yes (urgent trial tracking)</t>
  </si>
  <si>
    <t xml:space="preserve">$4.99 one-time lifetime unlock</t>
  </si>
  <si>
    <t xml:space="preserve">CONVERSION TRIGGERS</t>
  </si>
  <si>
    <t xml:space="preserve">1. Taster wow moment</t>
  </si>
  <si>
    <t xml:space="preserve">User screenshots subscription → AI fills everything → 'Unlock unlimited scans'</t>
  </si>
  <si>
    <t xml:space="preserve">2. Subscription limit hit</t>
  </si>
  <si>
    <t xml:space="preserve">User adds 6th subscription → soft paywall</t>
  </si>
  <si>
    <t xml:space="preserve">3. Trial urgency</t>
  </si>
  <si>
    <t xml:space="preserve">'Your Netflix trial ends in 3 days' → 'Get smart reminders with Pro'</t>
  </si>
  <si>
    <t xml:space="preserve">4. Money saved tease</t>
  </si>
  <si>
    <t xml:space="preserve">'You could be tracking $X/month in savings' → 'Unlock with Pro'</t>
  </si>
  <si>
    <t xml:space="preserve">5. Post-renewal regret</t>
  </si>
  <si>
    <t xml:space="preserve">'You just got charged $14.99. Never miss a renewal → Go Pro'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</si>
</sst>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%"/>
    <numFmt numFmtId="167" formatCode="\$#,##0.00000"/>
    <numFmt numFmtId="168" formatCode="#,##0"/>
    <numFmt numFmtId="169" formatCode="0.0%"/>
    <numFmt numFmtId="170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4.99</v>
      </c>
      <c r="D5" s="7" t="s">
        <v>7</v>
      </c>
    </row>
    <row r="6" customFormat="false" ht="15" hidden="false" customHeight="true" outlineLevel="0" collapsed="false">
      <c r="A6" s="5" t="s">
        <v>8</v>
      </c>
      <c r="B6" s="8" t="n">
        <v>0.15</v>
      </c>
      <c r="D6" s="7" t="s">
        <v>9</v>
      </c>
    </row>
    <row r="7" customFormat="false" ht="15" hidden="false" customHeight="true" outlineLevel="0" collapsed="false">
      <c r="A7" s="5" t="s">
        <v>10</v>
      </c>
      <c r="B7" s="9" t="n">
        <f aca="false">B5*(1-B6)</f>
        <v>4.2415</v>
      </c>
      <c r="D7" s="7" t="s">
        <v>11</v>
      </c>
    </row>
    <row r="9" customFormat="false" ht="15" hidden="false" customHeight="true" outlineLevel="0" collapsed="false">
      <c r="A9" s="3" t="s">
        <v>12</v>
      </c>
    </row>
    <row r="10" customFormat="false" ht="15" hidden="false" customHeight="true" outlineLevel="0" collapsed="false">
      <c r="A10" s="4" t="s">
        <v>2</v>
      </c>
      <c r="B10" s="4" t="s">
        <v>3</v>
      </c>
      <c r="C10" s="4" t="s">
        <v>4</v>
      </c>
      <c r="D10" s="4" t="s">
        <v>5</v>
      </c>
    </row>
    <row r="11" customFormat="false" ht="15" hidden="false" customHeight="true" outlineLevel="0" collapsed="false">
      <c r="A11" s="5" t="s">
        <v>13</v>
      </c>
      <c r="B11" s="10" t="n">
        <v>0.00151</v>
      </c>
      <c r="D11" s="7" t="s">
        <v>14</v>
      </c>
    </row>
    <row r="12" customFormat="false" ht="15" hidden="false" customHeight="true" outlineLevel="0" collapsed="false">
      <c r="A12" s="5" t="s">
        <v>15</v>
      </c>
      <c r="B12" s="11" t="n">
        <v>3</v>
      </c>
      <c r="D12" s="7" t="s">
        <v>16</v>
      </c>
    </row>
    <row r="13" customFormat="false" ht="15" hidden="false" customHeight="true" outlineLevel="0" collapsed="false">
      <c r="A13" s="5" t="s">
        <v>17</v>
      </c>
      <c r="B13" s="11" t="n">
        <v>3</v>
      </c>
      <c r="D13" s="7" t="s">
        <v>18</v>
      </c>
    </row>
    <row r="14" customFormat="false" ht="15" hidden="false" customHeight="true" outlineLevel="0" collapsed="false">
      <c r="A14" s="5" t="s">
        <v>19</v>
      </c>
      <c r="B14" s="12" t="n">
        <f aca="false">B11*B12</f>
        <v>0.00453</v>
      </c>
      <c r="D14" s="7" t="s">
        <v>20</v>
      </c>
    </row>
    <row r="15" customFormat="false" ht="15" hidden="false" customHeight="true" outlineLevel="0" collapsed="false">
      <c r="A15" s="5" t="s">
        <v>21</v>
      </c>
      <c r="B15" s="12" t="n">
        <f aca="false">B11*B13</f>
        <v>0.00453</v>
      </c>
      <c r="D15" s="7" t="s">
        <v>22</v>
      </c>
    </row>
    <row r="17" customFormat="false" ht="15" hidden="false" customHeight="true" outlineLevel="0" collapsed="false">
      <c r="A17" s="3" t="s">
        <v>23</v>
      </c>
    </row>
    <row r="18" customFormat="false" ht="15" hidden="false" customHeight="true" outlineLevel="0" collapsed="false">
      <c r="A18" s="4" t="s">
        <v>2</v>
      </c>
      <c r="B18" s="4" t="s">
        <v>3</v>
      </c>
      <c r="C18" s="4" t="s">
        <v>4</v>
      </c>
      <c r="D18" s="4" t="s">
        <v>5</v>
      </c>
    </row>
    <row r="19" customFormat="false" ht="15" hidden="false" customHeight="true" outlineLevel="0" collapsed="false">
      <c r="A19" s="5" t="s">
        <v>24</v>
      </c>
      <c r="B19" s="11" t="n">
        <v>50000</v>
      </c>
      <c r="D19" s="7" t="s">
        <v>25</v>
      </c>
    </row>
    <row r="20" customFormat="false" ht="15" hidden="false" customHeight="true" outlineLevel="0" collapsed="false">
      <c r="A20" s="5" t="s">
        <v>26</v>
      </c>
      <c r="B20" s="11" t="n">
        <v>100000</v>
      </c>
      <c r="D20" s="7" t="s">
        <v>27</v>
      </c>
    </row>
    <row r="21" customFormat="false" ht="15" hidden="false" customHeight="true" outlineLevel="0" collapsed="false">
      <c r="A21" s="5" t="s">
        <v>28</v>
      </c>
      <c r="B21" s="11" t="n">
        <v>200000</v>
      </c>
      <c r="D21" s="7" t="s">
        <v>29</v>
      </c>
    </row>
    <row r="22" customFormat="false" ht="15" hidden="false" customHeight="true" outlineLevel="0" collapsed="false">
      <c r="A22" s="5" t="s">
        <v>30</v>
      </c>
      <c r="B22" s="11" t="n">
        <v>300000</v>
      </c>
      <c r="D22" s="7" t="s">
        <v>31</v>
      </c>
    </row>
    <row r="23" customFormat="false" ht="15" hidden="false" customHeight="true" outlineLevel="0" collapsed="false">
      <c r="A23" s="5" t="s">
        <v>32</v>
      </c>
      <c r="B23" s="11" t="n">
        <v>350000</v>
      </c>
      <c r="D23" s="7" t="s">
        <v>33</v>
      </c>
    </row>
    <row r="24" customFormat="false" ht="15" hidden="false" customHeight="true" outlineLevel="0" collapsed="false">
      <c r="A24" s="5" t="s">
        <v>34</v>
      </c>
      <c r="B24" s="13" t="n">
        <v>0.04</v>
      </c>
      <c r="D24" s="7" t="s">
        <v>35</v>
      </c>
    </row>
    <row r="25" customFormat="false" ht="15" hidden="false" customHeight="true" outlineLevel="0" collapsed="false">
      <c r="A25" s="5" t="s">
        <v>36</v>
      </c>
      <c r="B25" s="13" t="n">
        <v>0.3</v>
      </c>
      <c r="D25" s="7" t="s">
        <v>37</v>
      </c>
    </row>
    <row r="26" customFormat="false" ht="15" hidden="false" customHeight="true" outlineLevel="0" collapsed="false">
      <c r="A26" s="5" t="s">
        <v>38</v>
      </c>
      <c r="B26" s="13" t="n">
        <v>0.7</v>
      </c>
      <c r="D26" s="7" t="s">
        <v>39</v>
      </c>
    </row>
    <row r="28" customFormat="false" ht="15" hidden="false" customHeight="true" outlineLevel="0" collapsed="false">
      <c r="A28" s="3" t="s">
        <v>40</v>
      </c>
    </row>
    <row r="29" customFormat="false" ht="15" hidden="false" customHeight="true" outlineLevel="0" collapsed="false">
      <c r="A29" s="4" t="s">
        <v>2</v>
      </c>
      <c r="B29" s="4" t="s">
        <v>3</v>
      </c>
      <c r="C29" s="4" t="s">
        <v>4</v>
      </c>
      <c r="D29" s="4" t="s">
        <v>5</v>
      </c>
    </row>
    <row r="30" customFormat="false" ht="15" hidden="false" customHeight="true" outlineLevel="0" collapsed="false">
      <c r="A30" s="5" t="s">
        <v>41</v>
      </c>
      <c r="B30" s="14" t="n">
        <v>25</v>
      </c>
      <c r="D30" s="7" t="s">
        <v>42</v>
      </c>
    </row>
    <row r="31" customFormat="false" ht="15" hidden="false" customHeight="true" outlineLevel="0" collapsed="false">
      <c r="A31" s="5" t="s">
        <v>43</v>
      </c>
      <c r="B31" s="14" t="n">
        <v>99</v>
      </c>
      <c r="D31" s="7" t="s">
        <v>44</v>
      </c>
    </row>
    <row r="32" customFormat="false" ht="15" hidden="false" customHeight="true" outlineLevel="0" collapsed="false">
      <c r="A32" s="5" t="s">
        <v>45</v>
      </c>
      <c r="B32" s="14" t="n">
        <v>25</v>
      </c>
      <c r="D32" s="7" t="s">
        <v>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customFormat="false" ht="15" hidden="false" customHeight="true" outlineLevel="0" collapsed="false">
      <c r="A4" s="15" t="s">
        <v>54</v>
      </c>
      <c r="B4" s="16"/>
      <c r="C4" s="16"/>
      <c r="D4" s="16"/>
      <c r="E4" s="16"/>
      <c r="F4" s="16"/>
    </row>
    <row r="5" customFormat="false" ht="15" hidden="false" customHeight="true" outlineLevel="0" collapsed="false">
      <c r="A5" s="5" t="s">
        <v>55</v>
      </c>
      <c r="B5" s="17" t="n">
        <f aca="false">Assumptions!B19</f>
        <v>50000</v>
      </c>
      <c r="C5" s="17" t="n">
        <f aca="false">Assumptions!B20</f>
        <v>100000</v>
      </c>
      <c r="D5" s="17" t="n">
        <f aca="false">Assumptions!B21</f>
        <v>200000</v>
      </c>
      <c r="E5" s="17" t="n">
        <f aca="false">Assumptions!B22</f>
        <v>300000</v>
      </c>
      <c r="F5" s="17" t="n">
        <f aca="false">Assumptions!B23</f>
        <v>350000</v>
      </c>
    </row>
    <row r="6" customFormat="false" ht="15" hidden="false" customHeight="true" outlineLevel="0" collapsed="false">
      <c r="A6" s="5" t="s">
        <v>56</v>
      </c>
      <c r="B6" s="18" t="n">
        <f aca="false">B5*(1-Assumptions!$B$24)</f>
        <v>48000</v>
      </c>
      <c r="C6" s="18" t="n">
        <f aca="false">C5*(1-Assumptions!$B$24)</f>
        <v>96000</v>
      </c>
      <c r="D6" s="18" t="n">
        <f aca="false">D5*(1-Assumptions!$B$24)</f>
        <v>192000</v>
      </c>
      <c r="E6" s="18" t="n">
        <f aca="false">E5*(1-Assumptions!$B$24)</f>
        <v>288000</v>
      </c>
      <c r="F6" s="18" t="n">
        <f aca="false">F5*(1-Assumptions!$B$24)</f>
        <v>336000</v>
      </c>
    </row>
    <row r="7" customFormat="false" ht="15" hidden="false" customHeight="true" outlineLevel="0" collapsed="false">
      <c r="A7" s="5" t="s">
        <v>57</v>
      </c>
      <c r="B7" s="18" t="n">
        <f aca="false">B5*Assumptions!$B$24</f>
        <v>2000</v>
      </c>
      <c r="C7" s="18" t="n">
        <f aca="false">C5*Assumptions!$B$24</f>
        <v>4000</v>
      </c>
      <c r="D7" s="18" t="n">
        <f aca="false">D5*Assumptions!$B$24</f>
        <v>8000</v>
      </c>
      <c r="E7" s="18" t="n">
        <f aca="false">E5*Assumptions!$B$24</f>
        <v>12000</v>
      </c>
      <c r="F7" s="18" t="n">
        <f aca="false">F5*Assumptions!$B$24</f>
        <v>14000</v>
      </c>
    </row>
    <row r="8" customFormat="false" ht="15" hidden="false" customHeight="true" outlineLevel="0" collapsed="false">
      <c r="A8" s="5" t="s">
        <v>58</v>
      </c>
      <c r="B8" s="18" t="n">
        <v>0</v>
      </c>
      <c r="C8" s="18" t="n">
        <f aca="false">B10*Assumptions!$B$25</f>
        <v>14400</v>
      </c>
      <c r="D8" s="18" t="n">
        <f aca="false">C10*Assumptions!$B$25</f>
        <v>33120</v>
      </c>
      <c r="E8" s="18" t="n">
        <f aca="false">D10*Assumptions!$B$25</f>
        <v>67536</v>
      </c>
      <c r="F8" s="18" t="n">
        <f aca="false">E10*Assumptions!$B$25</f>
        <v>106660.8</v>
      </c>
    </row>
    <row r="9" customFormat="false" ht="15" hidden="false" customHeight="true" outlineLevel="0" collapsed="false">
      <c r="A9" s="5" t="s">
        <v>59</v>
      </c>
      <c r="B9" s="18" t="n">
        <v>0</v>
      </c>
      <c r="C9" s="18" t="n">
        <f aca="false">B11*Assumptions!$B$26</f>
        <v>1400</v>
      </c>
      <c r="D9" s="18" t="n">
        <f aca="false">C11*Assumptions!$B$26</f>
        <v>3780</v>
      </c>
      <c r="E9" s="18" t="n">
        <f aca="false">D11*Assumptions!$B$26</f>
        <v>8246</v>
      </c>
      <c r="F9" s="18" t="n">
        <f aca="false">E11*Assumptions!$B$26</f>
        <v>14172.2</v>
      </c>
    </row>
    <row r="10" customFormat="false" ht="15" hidden="false" customHeight="true" outlineLevel="0" collapsed="false">
      <c r="A10" s="5" t="s">
        <v>60</v>
      </c>
      <c r="B10" s="19" t="n">
        <f aca="false">B6+B8</f>
        <v>48000</v>
      </c>
      <c r="C10" s="19" t="n">
        <f aca="false">C6+C8</f>
        <v>110400</v>
      </c>
      <c r="D10" s="19" t="n">
        <f aca="false">D6+D8</f>
        <v>225120</v>
      </c>
      <c r="E10" s="19" t="n">
        <f aca="false">E6+E8</f>
        <v>355536</v>
      </c>
      <c r="F10" s="19" t="n">
        <f aca="false">F6+F8</f>
        <v>442660.8</v>
      </c>
    </row>
    <row r="11" customFormat="false" ht="15" hidden="false" customHeight="true" outlineLevel="0" collapsed="false">
      <c r="A11" s="5" t="s">
        <v>61</v>
      </c>
      <c r="B11" s="19" t="n">
        <f aca="false">B7+B9</f>
        <v>2000</v>
      </c>
      <c r="C11" s="19" t="n">
        <f aca="false">C7+C9</f>
        <v>5400</v>
      </c>
      <c r="D11" s="19" t="n">
        <f aca="false">D7+D9</f>
        <v>11780</v>
      </c>
      <c r="E11" s="19" t="n">
        <f aca="false">E7+E9</f>
        <v>20246</v>
      </c>
      <c r="F11" s="19" t="n">
        <f aca="false">F7+F9</f>
        <v>28172.2</v>
      </c>
    </row>
    <row r="12" customFormat="false" ht="15" hidden="false" customHeight="true" outlineLevel="0" collapsed="false">
      <c r="A12" s="5" t="s">
        <v>62</v>
      </c>
      <c r="B12" s="20" t="n">
        <f aca="false">B10+B11</f>
        <v>50000</v>
      </c>
      <c r="C12" s="20" t="n">
        <f aca="false">C10+C11</f>
        <v>115800</v>
      </c>
      <c r="D12" s="20" t="n">
        <f aca="false">D10+D11</f>
        <v>236900</v>
      </c>
      <c r="E12" s="20" t="n">
        <f aca="false">E10+E11</f>
        <v>375782</v>
      </c>
      <c r="F12" s="20" t="n">
        <f aca="false">F10+F11</f>
        <v>470833</v>
      </c>
    </row>
    <row r="14" customFormat="false" ht="15" hidden="false" customHeight="true" outlineLevel="0" collapsed="false">
      <c r="A14" s="15" t="s">
        <v>63</v>
      </c>
      <c r="B14" s="16"/>
      <c r="C14" s="16"/>
      <c r="D14" s="16"/>
      <c r="E14" s="16"/>
      <c r="F14" s="16"/>
    </row>
    <row r="15" customFormat="false" ht="15" hidden="false" customHeight="true" outlineLevel="0" collapsed="false">
      <c r="A15" s="5" t="s">
        <v>64</v>
      </c>
      <c r="B15" s="21" t="n">
        <f aca="false">B7*Assumptions!$B$5</f>
        <v>9980</v>
      </c>
      <c r="C15" s="21" t="n">
        <f aca="false">C7*Assumptions!$B$5</f>
        <v>19960</v>
      </c>
      <c r="D15" s="21" t="n">
        <f aca="false">D7*Assumptions!$B$5</f>
        <v>39920</v>
      </c>
      <c r="E15" s="21" t="n">
        <f aca="false">E7*Assumptions!$B$5</f>
        <v>59880</v>
      </c>
      <c r="F15" s="21" t="n">
        <f aca="false">F7*Assumptions!$B$5</f>
        <v>69860</v>
      </c>
    </row>
    <row r="16" customFormat="false" ht="15" hidden="false" customHeight="true" outlineLevel="0" collapsed="false">
      <c r="A16" s="5" t="s">
        <v>65</v>
      </c>
      <c r="B16" s="21" t="n">
        <f aca="false">B15*Assumptions!$B$6</f>
        <v>1497</v>
      </c>
      <c r="C16" s="21" t="n">
        <f aca="false">C15*Assumptions!$B$6</f>
        <v>2994</v>
      </c>
      <c r="D16" s="21" t="n">
        <f aca="false">D15*Assumptions!$B$6</f>
        <v>5988</v>
      </c>
      <c r="E16" s="21" t="n">
        <f aca="false">E15*Assumptions!$B$6</f>
        <v>8982</v>
      </c>
      <c r="F16" s="21" t="n">
        <f aca="false">F15*Assumptions!$B$6</f>
        <v>10479</v>
      </c>
    </row>
    <row r="17" customFormat="false" ht="15" hidden="false" customHeight="true" outlineLevel="0" collapsed="false">
      <c r="A17" s="5" t="s">
        <v>66</v>
      </c>
      <c r="B17" s="22" t="n">
        <f aca="false">B15-B16</f>
        <v>8483</v>
      </c>
      <c r="C17" s="22" t="n">
        <f aca="false">C15-C16</f>
        <v>16966</v>
      </c>
      <c r="D17" s="22" t="n">
        <f aca="false">D15-D16</f>
        <v>33932</v>
      </c>
      <c r="E17" s="22" t="n">
        <f aca="false">E15-E16</f>
        <v>50898</v>
      </c>
      <c r="F17" s="22" t="n">
        <f aca="false">F15-F16</f>
        <v>59381</v>
      </c>
    </row>
    <row r="19" customFormat="false" ht="15" hidden="false" customHeight="true" outlineLevel="0" collapsed="false">
      <c r="A19" s="15" t="s">
        <v>67</v>
      </c>
      <c r="B19" s="16"/>
      <c r="C19" s="16"/>
      <c r="D19" s="16"/>
      <c r="E19" s="16"/>
      <c r="F19" s="16"/>
    </row>
    <row r="20" customFormat="false" ht="15" hidden="false" customHeight="true" outlineLevel="0" collapsed="false">
      <c r="A20" s="5" t="s">
        <v>68</v>
      </c>
      <c r="B20" s="21" t="n">
        <f aca="false">B6*Assumptions!$B$12*Assumptions!$B$11</f>
        <v>217.44</v>
      </c>
      <c r="C20" s="21" t="n">
        <f aca="false">C6*Assumptions!$B$12*Assumptions!$B$11</f>
        <v>434.88</v>
      </c>
      <c r="D20" s="21" t="n">
        <f aca="false">D6*Assumptions!$B$12*Assumptions!$B$11</f>
        <v>869.76</v>
      </c>
      <c r="E20" s="21" t="n">
        <f aca="false">E6*Assumptions!$B$12*Assumptions!$B$11</f>
        <v>1304.64</v>
      </c>
      <c r="F20" s="21" t="n">
        <f aca="false">F6*Assumptions!$B$12*Assumptions!$B$11</f>
        <v>1522.08</v>
      </c>
    </row>
    <row r="21" customFormat="false" ht="15" hidden="false" customHeight="true" outlineLevel="0" collapsed="false">
      <c r="A21" s="5" t="s">
        <v>69</v>
      </c>
      <c r="B21" s="21" t="n">
        <f aca="false">B11*Assumptions!$B$13*12*Assumptions!$B$11</f>
        <v>108.72</v>
      </c>
      <c r="C21" s="21" t="n">
        <f aca="false">C11*Assumptions!$B$13*12*Assumptions!$B$11</f>
        <v>293.544</v>
      </c>
      <c r="D21" s="21" t="n">
        <f aca="false">D11*Assumptions!$B$13*12*Assumptions!$B$11</f>
        <v>640.3608</v>
      </c>
      <c r="E21" s="21" t="n">
        <f aca="false">E11*Assumptions!$B$13*12*Assumptions!$B$11</f>
        <v>1100.57256</v>
      </c>
      <c r="F21" s="21" t="n">
        <f aca="false">F11*Assumptions!$B$13*12*Assumptions!$B$11</f>
        <v>1531.440792</v>
      </c>
    </row>
    <row r="22" customFormat="false" ht="15" hidden="false" customHeight="true" outlineLevel="0" collapsed="false">
      <c r="A22" s="5" t="s">
        <v>70</v>
      </c>
      <c r="B22" s="18" t="n">
        <f aca="false">(B6*Assumptions!$B$12)+(B11*Assumptions!$B$13*12)</f>
        <v>216000</v>
      </c>
      <c r="C22" s="18" t="n">
        <f aca="false">(C6*Assumptions!$B$12)+(C11*Assumptions!$B$13*12)</f>
        <v>482400</v>
      </c>
      <c r="D22" s="18" t="n">
        <f aca="false">(D6*Assumptions!$B$12)+(D11*Assumptions!$B$13*12)</f>
        <v>1000080</v>
      </c>
      <c r="E22" s="18" t="n">
        <f aca="false">(E6*Assumptions!$B$12)+(E11*Assumptions!$B$13*12)</f>
        <v>1592856</v>
      </c>
      <c r="F22" s="18" t="n">
        <f aca="false">(F6*Assumptions!$B$12)+(F11*Assumptions!$B$13*12)</f>
        <v>2022199.2</v>
      </c>
    </row>
    <row r="23" customFormat="false" ht="15" hidden="false" customHeight="true" outlineLevel="0" collapsed="false">
      <c r="A23" s="5" t="s">
        <v>71</v>
      </c>
      <c r="B23" s="23" t="n">
        <f aca="false">B20+B21</f>
        <v>326.16</v>
      </c>
      <c r="C23" s="23" t="n">
        <f aca="false">C20+C21</f>
        <v>728.424</v>
      </c>
      <c r="D23" s="23" t="n">
        <f aca="false">D20+D21</f>
        <v>1510.1208</v>
      </c>
      <c r="E23" s="23" t="n">
        <f aca="false">E20+E21</f>
        <v>2405.21256</v>
      </c>
      <c r="F23" s="23" t="n">
        <f aca="false">F20+F21</f>
        <v>3053.520792</v>
      </c>
    </row>
    <row r="25" customFormat="false" ht="15" hidden="false" customHeight="true" outlineLevel="0" collapsed="false">
      <c r="A25" s="15" t="s">
        <v>40</v>
      </c>
      <c r="B25" s="16"/>
      <c r="C25" s="16"/>
      <c r="D25" s="16"/>
      <c r="E25" s="16"/>
      <c r="F25" s="16"/>
    </row>
    <row r="26" customFormat="false" ht="15" hidden="false" customHeight="true" outlineLevel="0" collapsed="false">
      <c r="A26" s="5" t="s">
        <v>72</v>
      </c>
      <c r="B26" s="21" t="n">
        <f aca="false">(Assumptions!$B$30+(B12/10000)*5)*12</f>
        <v>600</v>
      </c>
      <c r="C26" s="21" t="n">
        <f aca="false">(Assumptions!$B$30+(C12/10000)*5)*12</f>
        <v>994.8</v>
      </c>
      <c r="D26" s="21" t="n">
        <f aca="false">(Assumptions!$B$30+(D12/10000)*5)*12</f>
        <v>1721.4</v>
      </c>
      <c r="E26" s="21" t="n">
        <f aca="false">(Assumptions!$B$30+(E12/10000)*5)*12</f>
        <v>2554.692</v>
      </c>
      <c r="F26" s="21" t="n">
        <f aca="false">(Assumptions!$B$30+(F12/10000)*5)*12</f>
        <v>3124.998</v>
      </c>
    </row>
    <row r="27" customFormat="false" ht="15" hidden="false" customHeight="true" outlineLevel="0" collapsed="false">
      <c r="A27" s="5" t="s">
        <v>73</v>
      </c>
      <c r="B27" s="24" t="n">
        <f aca="false">Assumptions!$B$31</f>
        <v>99</v>
      </c>
      <c r="C27" s="24" t="n">
        <f aca="false">Assumptions!$B$31</f>
        <v>99</v>
      </c>
      <c r="D27" s="24" t="n">
        <f aca="false">Assumptions!$B$31</f>
        <v>99</v>
      </c>
      <c r="E27" s="24" t="n">
        <f aca="false">Assumptions!$B$31</f>
        <v>99</v>
      </c>
      <c r="F27" s="24" t="n">
        <f aca="false">Assumptions!$B$31</f>
        <v>99</v>
      </c>
    </row>
    <row r="28" customFormat="false" ht="15" hidden="false" customHeight="true" outlineLevel="0" collapsed="false">
      <c r="A28" s="5" t="s">
        <v>74</v>
      </c>
      <c r="B28" s="24" t="n">
        <f aca="false">Assumptions!$B$32</f>
        <v>25</v>
      </c>
      <c r="C28" s="21" t="n">
        <v>0</v>
      </c>
      <c r="D28" s="21" t="n">
        <v>0</v>
      </c>
      <c r="E28" s="21" t="n">
        <v>0</v>
      </c>
      <c r="F28" s="21" t="n">
        <v>0</v>
      </c>
    </row>
    <row r="29" customFormat="false" ht="15" hidden="false" customHeight="true" outlineLevel="0" collapsed="false">
      <c r="A29" s="5" t="s">
        <v>75</v>
      </c>
      <c r="B29" s="23" t="n">
        <f aca="false">B26+B27+B28</f>
        <v>724</v>
      </c>
      <c r="C29" s="23" t="n">
        <f aca="false">C26+C27+C28</f>
        <v>1093.8</v>
      </c>
      <c r="D29" s="23" t="n">
        <f aca="false">D26+D27+D28</f>
        <v>1820.4</v>
      </c>
      <c r="E29" s="23" t="n">
        <f aca="false">E26+E27+E28</f>
        <v>2653.692</v>
      </c>
      <c r="F29" s="23" t="n">
        <f aca="false">F26+F27+F28</f>
        <v>3223.998</v>
      </c>
    </row>
    <row r="31" customFormat="false" ht="15" hidden="false" customHeight="true" outlineLevel="0" collapsed="false">
      <c r="A31" s="15" t="s">
        <v>76</v>
      </c>
      <c r="B31" s="16"/>
      <c r="C31" s="16"/>
      <c r="D31" s="16"/>
      <c r="E31" s="16"/>
      <c r="F31" s="16"/>
    </row>
    <row r="32" customFormat="false" ht="15" hidden="false" customHeight="true" outlineLevel="0" collapsed="false">
      <c r="A32" s="5" t="s">
        <v>77</v>
      </c>
      <c r="B32" s="21" t="n">
        <f aca="false">B23+B29</f>
        <v>1050.16</v>
      </c>
      <c r="C32" s="21" t="n">
        <f aca="false">C23+C29</f>
        <v>1822.224</v>
      </c>
      <c r="D32" s="21" t="n">
        <f aca="false">D23+D29</f>
        <v>3330.5208</v>
      </c>
      <c r="E32" s="21" t="n">
        <f aca="false">E23+E29</f>
        <v>5058.90456</v>
      </c>
      <c r="F32" s="21" t="n">
        <f aca="false">F23+F29</f>
        <v>6277.518792</v>
      </c>
    </row>
    <row r="33" customFormat="false" ht="15" hidden="false" customHeight="true" outlineLevel="0" collapsed="false">
      <c r="A33" s="5" t="s">
        <v>78</v>
      </c>
      <c r="B33" s="22" t="n">
        <f aca="false">B17-B32</f>
        <v>7432.84</v>
      </c>
      <c r="C33" s="22" t="n">
        <f aca="false">C17-C32</f>
        <v>15143.776</v>
      </c>
      <c r="D33" s="22" t="n">
        <f aca="false">D17-D32</f>
        <v>30601.4792</v>
      </c>
      <c r="E33" s="22" t="n">
        <f aca="false">E17-E32</f>
        <v>45839.09544</v>
      </c>
      <c r="F33" s="22" t="n">
        <f aca="false">F17-F32</f>
        <v>53103.481208</v>
      </c>
    </row>
    <row r="34" customFormat="false" ht="15" hidden="false" customHeight="true" outlineLevel="0" collapsed="false">
      <c r="A34" s="5" t="s">
        <v>79</v>
      </c>
      <c r="B34" s="25" t="n">
        <f aca="false">IF(B17&gt;0,B33/B17,0)</f>
        <v>0.876204173051986</v>
      </c>
      <c r="C34" s="25" t="n">
        <f aca="false">IF(C17&gt;0,C33/C17,0)</f>
        <v>0.892595544029235</v>
      </c>
      <c r="D34" s="25" t="n">
        <f aca="false">IF(D17&gt;0,D33/D17,0)</f>
        <v>0.901847200282919</v>
      </c>
      <c r="E34" s="25" t="n">
        <f aca="false">IF(E17&gt;0,E33/E17,0)</f>
        <v>0.900607006955087</v>
      </c>
      <c r="F34" s="25" t="n">
        <f aca="false">IF(F17&gt;0,F33/F17,0)</f>
        <v>0.894284050588572</v>
      </c>
    </row>
    <row r="35" customFormat="false" ht="15" hidden="false" customHeight="true" outlineLevel="0" collapsed="false">
      <c r="A35" s="5" t="s">
        <v>80</v>
      </c>
      <c r="B35" s="22" t="n">
        <f aca="false">B33</f>
        <v>7432.84</v>
      </c>
      <c r="C35" s="22" t="n">
        <f aca="false">B35+C33</f>
        <v>22576.616</v>
      </c>
      <c r="D35" s="22" t="n">
        <f aca="false">C35+D33</f>
        <v>53178.0952</v>
      </c>
      <c r="E35" s="22" t="n">
        <f aca="false">D35+E33</f>
        <v>99017.19064</v>
      </c>
      <c r="F35" s="22" t="n">
        <f aca="false">E35+F33</f>
        <v>152120.671848</v>
      </c>
    </row>
    <row r="37" customFormat="false" ht="15" hidden="false" customHeight="true" outlineLevel="0" collapsed="false">
      <c r="A37" s="15" t="s">
        <v>81</v>
      </c>
      <c r="B37" s="16"/>
      <c r="C37" s="16"/>
      <c r="D37" s="16"/>
      <c r="E37" s="16"/>
      <c r="F37" s="16"/>
    </row>
    <row r="38" customFormat="false" ht="15" hidden="false" customHeight="true" outlineLevel="0" collapsed="false">
      <c r="A38" s="5" t="s">
        <v>82</v>
      </c>
      <c r="B38" s="9" t="n">
        <f aca="false">IF(B7&gt;0,B17/B7,0)</f>
        <v>4.2415</v>
      </c>
      <c r="C38" s="9" t="n">
        <f aca="false">IF(C7&gt;0,C17/C7,0)</f>
        <v>4.2415</v>
      </c>
      <c r="D38" s="9" t="n">
        <f aca="false">IF(D7&gt;0,D17/D7,0)</f>
        <v>4.2415</v>
      </c>
      <c r="E38" s="9" t="n">
        <f aca="false">IF(E7&gt;0,E17/E7,0)</f>
        <v>4.2415</v>
      </c>
      <c r="F38" s="9" t="n">
        <f aca="false">IF(F7&gt;0,F17/F7,0)</f>
        <v>4.2415</v>
      </c>
    </row>
    <row r="39" customFormat="false" ht="15" hidden="false" customHeight="true" outlineLevel="0" collapsed="false">
      <c r="A39" s="5" t="s">
        <v>83</v>
      </c>
      <c r="B39" s="9" t="n">
        <f aca="false">Assumptions!$B$13*12*Assumptions!$B$11</f>
        <v>0.05436</v>
      </c>
      <c r="C39" s="9" t="n">
        <f aca="false">Assumptions!$B$13*12*Assumptions!$B$11</f>
        <v>0.05436</v>
      </c>
      <c r="D39" s="9" t="n">
        <f aca="false">Assumptions!$B$13*12*Assumptions!$B$11</f>
        <v>0.05436</v>
      </c>
      <c r="E39" s="9" t="n">
        <f aca="false">Assumptions!$B$13*12*Assumptions!$B$11</f>
        <v>0.05436</v>
      </c>
      <c r="F39" s="9" t="n">
        <f aca="false">Assumptions!$B$13*12*Assumptions!$B$11</f>
        <v>0.05436</v>
      </c>
    </row>
    <row r="40" customFormat="false" ht="15" hidden="false" customHeight="true" outlineLevel="0" collapsed="false">
      <c r="A40" s="5" t="s">
        <v>84</v>
      </c>
      <c r="B40" s="25" t="n">
        <f aca="false">IF(B17&gt;0,B23/B17,0)</f>
        <v>0.0384486620299422</v>
      </c>
      <c r="C40" s="25" t="n">
        <f aca="false">IF(C17&gt;0,C23/C17,0)</f>
        <v>0.0429343392667688</v>
      </c>
      <c r="D40" s="25" t="n">
        <f aca="false">IF(D17&gt;0,D23/D17,0)</f>
        <v>0.0445043262996581</v>
      </c>
      <c r="E40" s="25" t="n">
        <f aca="false">IF(E17&gt;0,E23/E17,0)</f>
        <v>0.0472555416715785</v>
      </c>
      <c r="F40" s="25" t="n">
        <f aca="false">IF(F17&gt;0,F23/F17,0)</f>
        <v>0.0514225222209124</v>
      </c>
    </row>
    <row r="41" customFormat="false" ht="15" hidden="false" customHeight="true" outlineLevel="0" collapsed="false">
      <c r="A41" s="5" t="s">
        <v>85</v>
      </c>
      <c r="B41" s="12" t="n">
        <f aca="false">Assumptions!$B$14</f>
        <v>0.00453</v>
      </c>
      <c r="C41" s="12" t="n">
        <f aca="false">Assumptions!$B$14</f>
        <v>0.00453</v>
      </c>
      <c r="D41" s="12" t="n">
        <f aca="false">Assumptions!$B$14</f>
        <v>0.00453</v>
      </c>
      <c r="E41" s="12" t="n">
        <f aca="false">Assumptions!$B$14</f>
        <v>0.00453</v>
      </c>
      <c r="F41" s="12" t="n">
        <f aca="false">Assumptions!$B$14</f>
        <v>0.00453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6" min="2" style="1" width="20"/>
  </cols>
  <sheetData>
    <row r="1" customFormat="false" ht="17.25" hidden="false" customHeight="true" outlineLevel="0" collapsed="false">
      <c r="A1" s="2" t="s">
        <v>86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6" t="s">
        <v>87</v>
      </c>
    </row>
    <row r="4" customFormat="false" ht="15" hidden="false" customHeight="true" outlineLevel="0" collapsed="false">
      <c r="A4" s="4" t="s">
        <v>48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</row>
    <row r="5" customFormat="false" ht="15" hidden="false" customHeight="true" outlineLevel="0" collapsed="false">
      <c r="A5" s="5" t="s">
        <v>57</v>
      </c>
      <c r="B5" s="27" t="n">
        <v>4000</v>
      </c>
      <c r="C5" s="27" t="n">
        <v>6000</v>
      </c>
      <c r="D5" s="27" t="n">
        <v>8000</v>
      </c>
      <c r="E5" s="27" t="n">
        <v>10000</v>
      </c>
      <c r="F5" s="27" t="n">
        <v>14000</v>
      </c>
    </row>
    <row r="6" customFormat="false" ht="15" hidden="false" customHeight="true" outlineLevel="0" collapsed="false">
      <c r="A6" s="5" t="s">
        <v>93</v>
      </c>
      <c r="B6" s="28" t="n">
        <v>19960</v>
      </c>
      <c r="C6" s="28" t="n">
        <v>29940</v>
      </c>
      <c r="D6" s="28" t="n">
        <v>39920</v>
      </c>
      <c r="E6" s="28" t="n">
        <v>49900</v>
      </c>
      <c r="F6" s="28" t="n">
        <v>69860</v>
      </c>
    </row>
    <row r="7" customFormat="false" ht="15" hidden="false" customHeight="true" outlineLevel="0" collapsed="false">
      <c r="A7" s="5" t="s">
        <v>94</v>
      </c>
      <c r="B7" s="28" t="n">
        <v>16966</v>
      </c>
      <c r="C7" s="28" t="n">
        <v>25449</v>
      </c>
      <c r="D7" s="28" t="n">
        <v>33932</v>
      </c>
      <c r="E7" s="28" t="n">
        <v>42415</v>
      </c>
      <c r="F7" s="28" t="n">
        <v>59381</v>
      </c>
    </row>
    <row r="8" customFormat="false" ht="15" hidden="false" customHeight="true" outlineLevel="0" collapsed="false">
      <c r="A8" s="5" t="s">
        <v>95</v>
      </c>
      <c r="B8" s="28" t="n">
        <v>1366.248</v>
      </c>
      <c r="C8" s="28" t="n">
        <v>1596.372</v>
      </c>
      <c r="D8" s="28" t="n">
        <v>1826.496</v>
      </c>
      <c r="E8" s="28" t="n">
        <v>2056.62</v>
      </c>
      <c r="F8" s="28" t="n">
        <v>2516.868</v>
      </c>
    </row>
    <row r="9" customFormat="false" ht="15" hidden="false" customHeight="true" outlineLevel="0" collapsed="false">
      <c r="A9" s="5" t="s">
        <v>96</v>
      </c>
      <c r="B9" s="29" t="n">
        <v>13383.952</v>
      </c>
      <c r="C9" s="29" t="n">
        <v>21628.428</v>
      </c>
      <c r="D9" s="29" t="n">
        <v>29872.904</v>
      </c>
      <c r="E9" s="29" t="n">
        <v>38117.38</v>
      </c>
      <c r="F9" s="29" t="n">
        <v>54606.332</v>
      </c>
    </row>
    <row r="10" customFormat="false" ht="15" hidden="false" customHeight="true" outlineLevel="0" collapsed="false">
      <c r="A10" s="5" t="s">
        <v>97</v>
      </c>
      <c r="B10" s="22" t="n">
        <v>29444.6944</v>
      </c>
      <c r="C10" s="22" t="n">
        <v>47582.5416</v>
      </c>
      <c r="D10" s="22" t="n">
        <v>65720.3888</v>
      </c>
      <c r="E10" s="22" t="n">
        <v>83858.236</v>
      </c>
      <c r="F10" s="22" t="n">
        <v>120133.9304</v>
      </c>
    </row>
    <row r="11" customFormat="false" ht="15" hidden="false" customHeight="true" outlineLevel="0" collapsed="false">
      <c r="A11" s="5"/>
      <c r="B11" s="30"/>
      <c r="C11" s="30"/>
      <c r="D11" s="30"/>
      <c r="E11" s="30"/>
      <c r="F11" s="30"/>
    </row>
    <row r="12" customFormat="false" ht="15" hidden="false" customHeight="true" outlineLevel="0" collapsed="false">
      <c r="A12" s="5" t="s">
        <v>98</v>
      </c>
      <c r="B12" s="28" t="n">
        <v>887.88</v>
      </c>
      <c r="C12" s="28" t="n">
        <v>878.82</v>
      </c>
      <c r="D12" s="28" t="n">
        <v>869.76</v>
      </c>
      <c r="E12" s="28" t="n">
        <v>860.7</v>
      </c>
      <c r="F12" s="28" t="n">
        <v>842.58</v>
      </c>
    </row>
    <row r="13" customFormat="false" ht="15" hidden="false" customHeight="true" outlineLevel="0" collapsed="false">
      <c r="A13" s="5" t="s">
        <v>99</v>
      </c>
      <c r="B13" s="28" t="n">
        <v>478.368</v>
      </c>
      <c r="C13" s="28" t="n">
        <v>717.552</v>
      </c>
      <c r="D13" s="28" t="n">
        <v>956.736</v>
      </c>
      <c r="E13" s="28" t="n">
        <v>1195.92</v>
      </c>
      <c r="F13" s="28" t="n">
        <v>1674.288</v>
      </c>
    </row>
    <row r="14" customFormat="false" ht="15" hidden="false" customHeight="true" outlineLevel="0" collapsed="false">
      <c r="A14" s="5" t="s">
        <v>71</v>
      </c>
      <c r="B14" s="28" t="n">
        <v>1366.248</v>
      </c>
      <c r="C14" s="28" t="n">
        <v>1596.372</v>
      </c>
      <c r="D14" s="28" t="n">
        <v>1826.496</v>
      </c>
      <c r="E14" s="28" t="n">
        <v>2056.62</v>
      </c>
      <c r="F14" s="28" t="n">
        <v>2516.868</v>
      </c>
    </row>
    <row r="15" customFormat="false" ht="15" hidden="false" customHeight="true" outlineLevel="0" collapsed="false">
      <c r="A15" s="5" t="s">
        <v>100</v>
      </c>
      <c r="B15" s="31" t="n">
        <v>0.0805285865849346</v>
      </c>
      <c r="C15" s="31" t="n">
        <v>0.062728280089591</v>
      </c>
      <c r="D15" s="31" t="n">
        <v>0.0538281268419191</v>
      </c>
      <c r="E15" s="31" t="n">
        <v>0.048488034893316</v>
      </c>
      <c r="F15" s="31" t="n">
        <v>0.0423850726663411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101</v>
      </c>
      <c r="B1" s="2"/>
      <c r="C1" s="2"/>
      <c r="D1" s="2"/>
    </row>
    <row r="2" customFormat="false" ht="15" hidden="false" customHeight="true" outlineLevel="0" collapsed="false">
      <c r="A2" s="26" t="s">
        <v>102</v>
      </c>
    </row>
    <row r="4" customFormat="false" ht="15" hidden="false" customHeight="true" outlineLevel="0" collapsed="false">
      <c r="A4" s="3" t="s">
        <v>103</v>
      </c>
    </row>
    <row r="5" customFormat="false" ht="15" hidden="false" customHeight="true" outlineLevel="0" collapsed="false">
      <c r="A5" s="4" t="s">
        <v>104</v>
      </c>
      <c r="B5" s="4" t="s">
        <v>105</v>
      </c>
      <c r="C5" s="4" t="s">
        <v>106</v>
      </c>
      <c r="D5" s="4" t="s">
        <v>107</v>
      </c>
    </row>
    <row r="6" customFormat="false" ht="15" hidden="false" customHeight="true" outlineLevel="0" collapsed="false">
      <c r="A6" s="32" t="n">
        <v>10000</v>
      </c>
      <c r="B6" s="18" t="n">
        <v>28800</v>
      </c>
      <c r="C6" s="9" t="n">
        <v>43.488</v>
      </c>
      <c r="D6" s="9" t="n">
        <v>0.119145205479452</v>
      </c>
    </row>
    <row r="7" customFormat="false" ht="15" hidden="false" customHeight="true" outlineLevel="0" collapsed="false">
      <c r="A7" s="32" t="n">
        <v>50000</v>
      </c>
      <c r="B7" s="18" t="n">
        <v>144000</v>
      </c>
      <c r="C7" s="9" t="n">
        <v>217.44</v>
      </c>
      <c r="D7" s="9" t="n">
        <v>0.59572602739726</v>
      </c>
    </row>
    <row r="8" customFormat="false" ht="15" hidden="false" customHeight="true" outlineLevel="0" collapsed="false">
      <c r="A8" s="32" t="n">
        <v>100000</v>
      </c>
      <c r="B8" s="18" t="n">
        <v>288000</v>
      </c>
      <c r="C8" s="9" t="n">
        <v>434.88</v>
      </c>
      <c r="D8" s="9" t="n">
        <v>1.19145205479452</v>
      </c>
    </row>
    <row r="9" customFormat="false" ht="15" hidden="false" customHeight="true" outlineLevel="0" collapsed="false">
      <c r="A9" s="32" t="n">
        <v>200000</v>
      </c>
      <c r="B9" s="18" t="n">
        <v>576000</v>
      </c>
      <c r="C9" s="9" t="n">
        <v>869.76</v>
      </c>
      <c r="D9" s="9" t="n">
        <v>2.38290410958904</v>
      </c>
    </row>
    <row r="10" customFormat="false" ht="15" hidden="false" customHeight="true" outlineLevel="0" collapsed="false">
      <c r="A10" s="32" t="n">
        <v>500000</v>
      </c>
      <c r="B10" s="18" t="n">
        <v>1440000</v>
      </c>
      <c r="C10" s="9" t="n">
        <v>2174.4</v>
      </c>
      <c r="D10" s="9" t="n">
        <v>5.9572602739726</v>
      </c>
    </row>
    <row r="11" customFormat="false" ht="15" hidden="false" customHeight="true" outlineLevel="0" collapsed="false">
      <c r="A11" s="32" t="n">
        <v>1000000</v>
      </c>
      <c r="B11" s="18" t="n">
        <v>2880000</v>
      </c>
      <c r="C11" s="9" t="n">
        <v>4348.8</v>
      </c>
      <c r="D11" s="9" t="n">
        <v>11.9145205479452</v>
      </c>
    </row>
    <row r="13" customFormat="false" ht="15" hidden="false" customHeight="true" outlineLevel="0" collapsed="false">
      <c r="A13" s="3" t="s">
        <v>108</v>
      </c>
    </row>
    <row r="14" customFormat="false" ht="15" hidden="false" customHeight="true" outlineLevel="0" collapsed="false">
      <c r="A14" s="33" t="s">
        <v>109</v>
      </c>
      <c r="B14" s="33"/>
      <c r="C14" s="33"/>
      <c r="D14" s="33"/>
    </row>
    <row r="15" customFormat="false" ht="15" hidden="false" customHeight="true" outlineLevel="0" collapsed="false">
      <c r="A15" s="34" t="s">
        <v>110</v>
      </c>
      <c r="B15" s="34"/>
      <c r="C15" s="34"/>
      <c r="D15" s="34"/>
    </row>
    <row r="16" customFormat="false" ht="15" hidden="false" customHeight="true" outlineLevel="0" collapsed="false">
      <c r="A16" s="33" t="s">
        <v>111</v>
      </c>
      <c r="B16" s="33"/>
      <c r="C16" s="33"/>
      <c r="D16" s="33"/>
    </row>
    <row r="18" customFormat="false" ht="15" hidden="false" customHeight="true" outlineLevel="0" collapsed="false">
      <c r="A18" s="3" t="s">
        <v>112</v>
      </c>
    </row>
    <row r="19" customFormat="false" ht="15" hidden="false" customHeight="true" outlineLevel="0" collapsed="false">
      <c r="A19" s="4" t="s">
        <v>113</v>
      </c>
      <c r="B19" s="4" t="s">
        <v>114</v>
      </c>
      <c r="C19" s="4" t="s">
        <v>115</v>
      </c>
      <c r="D19" s="4" t="s">
        <v>66</v>
      </c>
    </row>
    <row r="20" customFormat="false" ht="15" hidden="false" customHeight="true" outlineLevel="0" collapsed="false">
      <c r="A20" s="5" t="s">
        <v>116</v>
      </c>
      <c r="B20" s="31" t="n">
        <v>0.04</v>
      </c>
      <c r="C20" s="27" t="n">
        <v>8000</v>
      </c>
      <c r="D20" s="28" t="n">
        <v>33932</v>
      </c>
    </row>
    <row r="21" customFormat="false" ht="15" hidden="false" customHeight="true" outlineLevel="0" collapsed="false">
      <c r="A21" s="5" t="s">
        <v>117</v>
      </c>
      <c r="B21" s="31" t="n">
        <v>0.025</v>
      </c>
      <c r="C21" s="27" t="n">
        <v>5000</v>
      </c>
      <c r="D21" s="28" t="n">
        <v>21207.5</v>
      </c>
    </row>
    <row r="22" customFormat="false" ht="15" hidden="false" customHeight="true" outlineLevel="0" collapsed="false">
      <c r="A22" s="35" t="s">
        <v>118</v>
      </c>
      <c r="B22" s="36" t="s">
        <v>119</v>
      </c>
      <c r="C22" s="36" t="s">
        <v>120</v>
      </c>
      <c r="D22" s="36" t="s">
        <v>121</v>
      </c>
    </row>
    <row r="24" customFormat="false" ht="15" hidden="false" customHeight="true" outlineLevel="0" collapsed="false">
      <c r="A24" s="33" t="s">
        <v>122</v>
      </c>
      <c r="B24" s="33"/>
      <c r="C24" s="33"/>
      <c r="D24" s="33"/>
    </row>
    <row r="25" customFormat="false" ht="15" hidden="false" customHeight="true" outlineLevel="0" collapsed="false">
      <c r="A25" s="37" t="s">
        <v>123</v>
      </c>
      <c r="B25" s="37"/>
      <c r="C25" s="37"/>
      <c r="D25" s="37"/>
    </row>
  </sheetData>
  <mergeCells count="6">
    <mergeCell ref="A1:D1"/>
    <mergeCell ref="A14:D14"/>
    <mergeCell ref="A15:D15"/>
    <mergeCell ref="A16:D16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0000"/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32"/>
    <col collapsed="false" customWidth="true" hidden="false" outlineLevel="0" max="4" min="4" style="1" width="24"/>
  </cols>
  <sheetData>
    <row r="1" customFormat="false" ht="17.25" hidden="false" customHeight="true" outlineLevel="0" collapsed="false">
      <c r="A1" s="2" t="s">
        <v>124</v>
      </c>
      <c r="B1" s="2"/>
      <c r="C1" s="2"/>
      <c r="D1" s="2"/>
    </row>
    <row r="3" customFormat="false" ht="15" hidden="false" customHeight="true" outlineLevel="0" collapsed="false">
      <c r="A3" s="4" t="s">
        <v>48</v>
      </c>
      <c r="B3" s="4" t="s">
        <v>125</v>
      </c>
      <c r="C3" s="4" t="s">
        <v>126</v>
      </c>
      <c r="D3" s="4" t="s">
        <v>127</v>
      </c>
    </row>
    <row r="4" customFormat="false" ht="15" hidden="false" customHeight="true" outlineLevel="0" collapsed="false">
      <c r="A4" s="5" t="s">
        <v>128</v>
      </c>
      <c r="B4" s="38" t="s">
        <v>129</v>
      </c>
      <c r="C4" s="38" t="s">
        <v>130</v>
      </c>
      <c r="D4" s="35" t="s">
        <v>131</v>
      </c>
    </row>
    <row r="5" customFormat="false" ht="15" hidden="false" customHeight="true" outlineLevel="0" collapsed="false">
      <c r="A5" s="5" t="s">
        <v>132</v>
      </c>
      <c r="B5" s="38" t="s">
        <v>133</v>
      </c>
      <c r="C5" s="38" t="s">
        <v>134</v>
      </c>
      <c r="D5" s="35" t="s">
        <v>131</v>
      </c>
    </row>
    <row r="6" customFormat="false" ht="15" hidden="false" customHeight="true" outlineLevel="0" collapsed="false">
      <c r="A6" s="5" t="s">
        <v>135</v>
      </c>
      <c r="B6" s="38" t="s">
        <v>136</v>
      </c>
      <c r="C6" s="38" t="s">
        <v>137</v>
      </c>
      <c r="D6" s="39" t="s">
        <v>138</v>
      </c>
    </row>
    <row r="7" customFormat="false" ht="15" hidden="false" customHeight="true" outlineLevel="0" collapsed="false">
      <c r="A7" s="5" t="s">
        <v>139</v>
      </c>
      <c r="B7" s="38" t="s">
        <v>133</v>
      </c>
      <c r="C7" s="38" t="s">
        <v>140</v>
      </c>
      <c r="D7" s="39" t="s">
        <v>141</v>
      </c>
    </row>
    <row r="8" customFormat="false" ht="15" hidden="false" customHeight="true" outlineLevel="0" collapsed="false">
      <c r="A8" s="5" t="s">
        <v>142</v>
      </c>
      <c r="B8" s="38" t="s">
        <v>143</v>
      </c>
      <c r="C8" s="38" t="s">
        <v>144</v>
      </c>
      <c r="D8" s="39" t="s">
        <v>145</v>
      </c>
    </row>
    <row r="9" customFormat="false" ht="15" hidden="false" customHeight="true" outlineLevel="0" collapsed="false">
      <c r="A9" s="5" t="s">
        <v>146</v>
      </c>
      <c r="B9" s="38" t="s">
        <v>147</v>
      </c>
      <c r="C9" s="38" t="s">
        <v>148</v>
      </c>
      <c r="D9" s="40" t="s">
        <v>149</v>
      </c>
    </row>
    <row r="10" customFormat="false" ht="15" hidden="false" customHeight="true" outlineLevel="0" collapsed="false">
      <c r="A10" s="5" t="s">
        <v>150</v>
      </c>
      <c r="B10" s="38" t="s">
        <v>147</v>
      </c>
      <c r="C10" s="38" t="s">
        <v>151</v>
      </c>
      <c r="D10" s="40" t="s">
        <v>152</v>
      </c>
    </row>
    <row r="11" customFormat="false" ht="15" hidden="false" customHeight="true" outlineLevel="0" collapsed="false">
      <c r="A11" s="5" t="s">
        <v>153</v>
      </c>
      <c r="B11" s="38" t="s">
        <v>154</v>
      </c>
      <c r="C11" s="38" t="s">
        <v>155</v>
      </c>
      <c r="D11" s="40" t="s">
        <v>156</v>
      </c>
    </row>
    <row r="12" customFormat="false" ht="15" hidden="false" customHeight="true" outlineLevel="0" collapsed="false">
      <c r="A12" s="5" t="s">
        <v>157</v>
      </c>
      <c r="B12" s="38" t="s">
        <v>158</v>
      </c>
      <c r="C12" s="38" t="s">
        <v>159</v>
      </c>
      <c r="D12" s="35" t="s">
        <v>131</v>
      </c>
    </row>
    <row r="13" customFormat="false" ht="15" hidden="false" customHeight="true" outlineLevel="0" collapsed="false">
      <c r="A13" s="5" t="s">
        <v>160</v>
      </c>
      <c r="B13" s="38" t="s">
        <v>161</v>
      </c>
      <c r="C13" s="38" t="s">
        <v>162</v>
      </c>
      <c r="D13" s="35" t="s">
        <v>131</v>
      </c>
    </row>
    <row r="14" customFormat="false" ht="15" hidden="false" customHeight="true" outlineLevel="0" collapsed="false">
      <c r="A14" s="5" t="s">
        <v>163</v>
      </c>
      <c r="B14" s="38" t="s">
        <v>164</v>
      </c>
      <c r="C14" s="38" t="s">
        <v>165</v>
      </c>
      <c r="D14" s="35" t="s">
        <v>131</v>
      </c>
    </row>
    <row r="15" customFormat="false" ht="15" hidden="false" customHeight="true" outlineLevel="0" collapsed="false">
      <c r="A15" s="5" t="s">
        <v>166</v>
      </c>
      <c r="B15" s="38" t="s">
        <v>167</v>
      </c>
      <c r="C15" s="38" t="s">
        <v>168</v>
      </c>
      <c r="D15" s="35" t="s">
        <v>131</v>
      </c>
    </row>
    <row r="16" customFormat="false" ht="15" hidden="false" customHeight="true" outlineLevel="0" collapsed="false">
      <c r="A16" s="5" t="s">
        <v>169</v>
      </c>
      <c r="B16" s="38" t="s">
        <v>170</v>
      </c>
      <c r="C16" s="38" t="s">
        <v>171</v>
      </c>
      <c r="D16" s="35" t="s">
        <v>131</v>
      </c>
    </row>
    <row r="17" customFormat="false" ht="15" hidden="false" customHeight="true" outlineLevel="0" collapsed="false">
      <c r="A17" s="5" t="s">
        <v>172</v>
      </c>
      <c r="B17" s="38" t="s">
        <v>173</v>
      </c>
      <c r="C17" s="38" t="s">
        <v>174</v>
      </c>
      <c r="D17" s="35" t="s">
        <v>131</v>
      </c>
    </row>
    <row r="18" customFormat="false" ht="15" hidden="false" customHeight="true" outlineLevel="0" collapsed="false">
      <c r="A18" s="5" t="s">
        <v>175</v>
      </c>
      <c r="B18" s="38" t="s">
        <v>176</v>
      </c>
      <c r="C18" s="38" t="s">
        <v>177</v>
      </c>
      <c r="D18" s="35" t="s">
        <v>131</v>
      </c>
    </row>
    <row r="20" customFormat="false" ht="15" hidden="false" customHeight="true" outlineLevel="0" collapsed="false">
      <c r="A20" s="41" t="s">
        <v>178</v>
      </c>
      <c r="B20" s="41"/>
      <c r="C20" s="41"/>
      <c r="D20" s="41"/>
    </row>
    <row r="21" customFormat="false" ht="15" hidden="false" customHeight="true" outlineLevel="0" collapsed="false">
      <c r="A21" s="34" t="s">
        <v>179</v>
      </c>
      <c r="B21" s="34"/>
      <c r="C21" s="34"/>
      <c r="D21" s="34"/>
    </row>
    <row r="22" customFormat="false" ht="15" hidden="false" customHeight="true" outlineLevel="0" collapsed="false">
      <c r="A22" s="42" t="s">
        <v>180</v>
      </c>
      <c r="B22" s="42"/>
      <c r="C22" s="42"/>
      <c r="D22" s="42"/>
    </row>
  </sheetData>
  <mergeCells count="4">
    <mergeCell ref="A1:D1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35"/>
  </cols>
  <sheetData>
    <row r="1" customFormat="false" ht="17.25" hidden="false" customHeight="true" outlineLevel="0" collapsed="false">
      <c r="A1" s="2" t="s">
        <v>181</v>
      </c>
      <c r="B1" s="2"/>
      <c r="C1" s="2"/>
    </row>
    <row r="3" customFormat="false" ht="15" hidden="false" customHeight="true" outlineLevel="0" collapsed="false">
      <c r="A3" s="41" t="s">
        <v>182</v>
      </c>
      <c r="B3" s="41"/>
      <c r="C3" s="41"/>
    </row>
    <row r="4" customFormat="false" ht="15" hidden="false" customHeight="true" outlineLevel="0" collapsed="false">
      <c r="A4" s="5" t="s">
        <v>183</v>
      </c>
      <c r="B4" s="38" t="s">
        <v>184</v>
      </c>
    </row>
    <row r="5" customFormat="false" ht="15" hidden="false" customHeight="true" outlineLevel="0" collapsed="false">
      <c r="A5" s="5" t="s">
        <v>185</v>
      </c>
      <c r="B5" s="38" t="s">
        <v>186</v>
      </c>
    </row>
    <row r="6" customFormat="false" ht="15" hidden="false" customHeight="true" outlineLevel="0" collapsed="false">
      <c r="A6" s="5" t="s">
        <v>187</v>
      </c>
      <c r="B6" s="38" t="s">
        <v>188</v>
      </c>
    </row>
    <row r="7" customFormat="false" ht="15" hidden="false" customHeight="true" outlineLevel="0" collapsed="false">
      <c r="A7" s="5" t="s">
        <v>189</v>
      </c>
      <c r="B7" s="38" t="s">
        <v>190</v>
      </c>
    </row>
    <row r="8" customFormat="false" ht="15" hidden="false" customHeight="true" outlineLevel="0" collapsed="false">
      <c r="A8" s="5" t="s">
        <v>191</v>
      </c>
      <c r="B8" s="38" t="s">
        <v>192</v>
      </c>
    </row>
    <row r="9" customFormat="false" ht="15" hidden="false" customHeight="true" outlineLevel="0" collapsed="false">
      <c r="A9" s="5" t="s">
        <v>193</v>
      </c>
      <c r="B9" s="38" t="s">
        <v>192</v>
      </c>
    </row>
    <row r="10" customFormat="false" ht="15" hidden="false" customHeight="true" outlineLevel="0" collapsed="false">
      <c r="A10" s="5" t="s">
        <v>194</v>
      </c>
      <c r="B10" s="38" t="s">
        <v>192</v>
      </c>
    </row>
    <row r="11" customFormat="false" ht="15" hidden="false" customHeight="true" outlineLevel="0" collapsed="false">
      <c r="A11" s="5" t="s">
        <v>195</v>
      </c>
      <c r="B11" s="38" t="s">
        <v>196</v>
      </c>
    </row>
    <row r="13" customFormat="false" ht="15" hidden="false" customHeight="true" outlineLevel="0" collapsed="false">
      <c r="A13" s="43" t="s">
        <v>197</v>
      </c>
      <c r="B13" s="43"/>
      <c r="C13" s="43"/>
    </row>
    <row r="14" customFormat="false" ht="15" hidden="false" customHeight="true" outlineLevel="0" collapsed="false">
      <c r="A14" s="5" t="s">
        <v>183</v>
      </c>
      <c r="B14" s="38" t="s">
        <v>198</v>
      </c>
    </row>
    <row r="15" customFormat="false" ht="15" hidden="false" customHeight="true" outlineLevel="0" collapsed="false">
      <c r="A15" s="5" t="s">
        <v>185</v>
      </c>
      <c r="B15" s="38" t="s">
        <v>199</v>
      </c>
    </row>
    <row r="16" customFormat="false" ht="15" hidden="false" customHeight="true" outlineLevel="0" collapsed="false">
      <c r="A16" s="5" t="s">
        <v>187</v>
      </c>
      <c r="B16" s="38" t="s">
        <v>198</v>
      </c>
    </row>
    <row r="17" customFormat="false" ht="15" hidden="false" customHeight="true" outlineLevel="0" collapsed="false">
      <c r="A17" s="5" t="s">
        <v>189</v>
      </c>
      <c r="B17" s="38" t="s">
        <v>200</v>
      </c>
    </row>
    <row r="18" customFormat="false" ht="15" hidden="false" customHeight="true" outlineLevel="0" collapsed="false">
      <c r="A18" s="5" t="s">
        <v>191</v>
      </c>
      <c r="B18" s="38" t="s">
        <v>201</v>
      </c>
    </row>
    <row r="19" customFormat="false" ht="15" hidden="false" customHeight="true" outlineLevel="0" collapsed="false">
      <c r="A19" s="5" t="s">
        <v>193</v>
      </c>
      <c r="B19" s="38" t="s">
        <v>202</v>
      </c>
    </row>
    <row r="20" customFormat="false" ht="15" hidden="false" customHeight="true" outlineLevel="0" collapsed="false">
      <c r="A20" s="5" t="s">
        <v>194</v>
      </c>
      <c r="B20" s="38" t="s">
        <v>203</v>
      </c>
    </row>
    <row r="21" customFormat="false" ht="15" hidden="false" customHeight="true" outlineLevel="0" collapsed="false">
      <c r="A21" s="5" t="s">
        <v>204</v>
      </c>
      <c r="B21" s="38" t="s">
        <v>205</v>
      </c>
    </row>
    <row r="22" customFormat="false" ht="15" hidden="false" customHeight="true" outlineLevel="0" collapsed="false">
      <c r="A22" s="5" t="s">
        <v>195</v>
      </c>
      <c r="B22" s="38" t="s">
        <v>206</v>
      </c>
    </row>
    <row r="24" customFormat="false" ht="15" hidden="false" customHeight="true" outlineLevel="0" collapsed="false">
      <c r="A24" s="44" t="s">
        <v>207</v>
      </c>
      <c r="B24" s="44"/>
      <c r="C24" s="44"/>
    </row>
    <row r="25" customFormat="false" ht="15" hidden="false" customHeight="true" outlineLevel="0" collapsed="false">
      <c r="A25" s="5" t="s">
        <v>208</v>
      </c>
      <c r="B25" s="38" t="s">
        <v>209</v>
      </c>
      <c r="C25" s="38"/>
    </row>
    <row r="26" customFormat="false" ht="15" hidden="false" customHeight="true" outlineLevel="0" collapsed="false">
      <c r="A26" s="5" t="s">
        <v>210</v>
      </c>
      <c r="B26" s="38" t="s">
        <v>211</v>
      </c>
      <c r="C26" s="38"/>
    </row>
    <row r="27" customFormat="false" ht="15" hidden="false" customHeight="true" outlineLevel="0" collapsed="false">
      <c r="A27" s="5" t="s">
        <v>212</v>
      </c>
      <c r="B27" s="38" t="s">
        <v>213</v>
      </c>
      <c r="C27" s="38"/>
    </row>
    <row r="28" customFormat="false" ht="15" hidden="false" customHeight="true" outlineLevel="0" collapsed="false">
      <c r="A28" s="5" t="s">
        <v>214</v>
      </c>
      <c r="B28" s="38" t="s">
        <v>215</v>
      </c>
      <c r="C28" s="38"/>
    </row>
    <row r="29" customFormat="false" ht="15" hidden="false" customHeight="true" outlineLevel="0" collapsed="false">
      <c r="A29" s="5" t="s">
        <v>216</v>
      </c>
      <c r="B29" s="38" t="s">
        <v>217</v>
      </c>
      <c r="C29" s="38"/>
    </row>
  </sheetData>
  <mergeCells count="9">
    <mergeCell ref="A1:C1"/>
    <mergeCell ref="A3:C3"/>
    <mergeCell ref="A13:C13"/>
    <mergeCell ref="A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2026-02-08T12:01:53Z</dcterms:created>
  <dc:creator>openpyxl</dc:creator>
  <dc:description/>
  <dc:language>en-US</dc:language>
  <cp:lastModifiedBy/>
  <dcterms:modified xsi:type="dcterms:W3CDTF">2026-02-08T12:10:29Z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